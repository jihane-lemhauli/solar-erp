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JOB\M4.Facturation\"/>
    </mc:Choice>
  </mc:AlternateContent>
  <xr:revisionPtr revIDLastSave="0" documentId="13_ncr:1_{34260A55-36CA-4E36-8864-BBD27498F77B}" xr6:coauthVersionLast="47" xr6:coauthVersionMax="47" xr10:uidLastSave="{00000000-0000-0000-0000-000000000000}"/>
  <bookViews>
    <workbookView xWindow="-108" yWindow="-108" windowWidth="23256" windowHeight="12456" activeTab="1" xr2:uid="{D774F7ED-19F7-4E0D-8A83-4DEC7DB50E3D}"/>
  </bookViews>
  <sheets>
    <sheet name="info" sheetId="1" r:id="rId1"/>
    <sheet name="lista_item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3" l="1"/>
  <c r="E4" i="3"/>
  <c r="E3" i="3"/>
  <c r="G4" i="3"/>
  <c r="G3" i="3"/>
  <c r="G2" i="3"/>
  <c r="E5" i="3"/>
  <c r="E6" i="3"/>
</calcChain>
</file>

<file path=xl/sharedStrings.xml><?xml version="1.0" encoding="utf-8"?>
<sst xmlns="http://schemas.openxmlformats.org/spreadsheetml/2006/main" count="32" uniqueCount="32">
  <si>
    <t>PROP-PAN-650W</t>
  </si>
  <si>
    <t>Structure et accessoires de montage</t>
  </si>
  <si>
    <t>PROP-CAB-DC-N</t>
  </si>
  <si>
    <t>PROP-BOX-DC-2M</t>
  </si>
  <si>
    <t>Information</t>
  </si>
  <si>
    <t>Détails</t>
  </si>
  <si>
    <t>Raison Sociale</t>
  </si>
  <si>
    <t>PropMed (Solar Solutions)</t>
  </si>
  <si>
    <t>Adresse</t>
  </si>
  <si>
    <t>3ème étage, n°21, Av. Youssef Ibn Tachfine, Tanger, Maroc</t>
  </si>
  <si>
    <t>Téléphone</t>
  </si>
  <si>
    <t>0613 266 120 / 0691 771 120</t>
  </si>
  <si>
    <t>E-mail</t>
  </si>
  <si>
    <t>contact@propmed.ma</t>
  </si>
  <si>
    <t>RC / IF / ICE</t>
  </si>
  <si>
    <t>137001 / 53625661 / 003241314000056</t>
  </si>
  <si>
    <t>Banque (RIB)</t>
  </si>
  <si>
    <t>Attijariwafa Bank: 007 640 0000903000016328 55</t>
  </si>
  <si>
    <t>Code article</t>
  </si>
  <si>
    <t>Désignation</t>
  </si>
  <si>
    <t>Quantité</t>
  </si>
  <si>
    <t>P.U. HT (MAD)</t>
  </si>
  <si>
    <t>Montant HT (MAD)</t>
  </si>
  <si>
    <t>PROP-INV-HW-10K</t>
  </si>
  <si>
    <t>Huawei SUN2000-MAP0 — Onduleur solaire Hybride 10 kW</t>
  </si>
  <si>
    <t>Panneaux solaires 650W Monocristallins</t>
  </si>
  <si>
    <t>PROP-STR-GALV</t>
  </si>
  <si>
    <t>KBE Câble solaire UV 1x6 mm² Noir</t>
  </si>
  <si>
    <t>Coffret de protection DC photovoltaïque</t>
  </si>
  <si>
    <t>Total HT</t>
  </si>
  <si>
    <t>TVA 20%</t>
  </si>
  <si>
    <t>TOTAL TTC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</si>
</sst>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wrapText="1" indent="1" readingOrder="2"/>
    </xf>
    <xf numFmtId="0" fontId="2" fillId="0" borderId="1" xfId="0" applyFont="1" applyBorder="1" applyAlignment="1">
      <alignment vertical="center" wrapText="1" readingOrder="2"/>
    </xf>
    <xf numFmtId="0" fontId="1" fillId="0" borderId="1" xfId="0" applyFont="1" applyBorder="1" applyAlignment="1">
      <alignment horizontal="left" vertical="center" wrapText="1" indent="1" readingOrder="2"/>
    </xf>
    <xf numFmtId="4" fontId="1" fillId="0" borderId="1" xfId="0" applyNumberFormat="1" applyFont="1" applyBorder="1" applyAlignment="1">
      <alignment horizontal="left" vertical="center" wrapText="1" indent="1" readingOrder="2"/>
    </xf>
    <xf numFmtId="0" fontId="3" fillId="0" borderId="1" xfId="0" applyFont="1" applyBorder="1" applyAlignment="1">
      <alignment vertical="center" wrapText="1" readingOrder="2"/>
    </xf>
    <xf numFmtId="0" fontId="2" fillId="0" borderId="1" xfId="0" applyFont="1" applyBorder="1" applyAlignment="1">
      <alignment horizontal="right" vertical="center" wrapText="1" inden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D09E-247B-4534-9B60-CFF4F3943730}">
  <dimension ref="A1:B7"/>
  <sheetViews>
    <sheetView workbookViewId="0">
      <selection activeCell="B11" sqref="B11"/>
    </sheetView>
  </sheetViews>
  <sheetFormatPr baseColWidth="10" defaultRowHeight="14.4"/>
  <cols>
    <col min="1" max="1" width="50.5546875" customWidth="1"/>
    <col min="2" max="2" width="58.109375" customWidth="1"/>
    <col min="5" max="5" width="19.5546875" customWidth="1"/>
  </cols>
  <sheetData>
    <row r="1" spans="1:2" ht="15" thickBot="1">
      <c r="A1" s="1" t="s">
        <v>4</v>
      </c>
      <c r="B1" s="2" t="s">
        <v>5</v>
      </c>
    </row>
    <row r="2" spans="1:2" ht="15" thickBot="1">
      <c r="A2" s="1" t="s">
        <v>6</v>
      </c>
      <c r="B2" s="2" t="s">
        <v>7</v>
      </c>
    </row>
    <row r="3" spans="1:2" ht="15" thickBot="1">
      <c r="A3" s="1" t="s">
        <v>8</v>
      </c>
      <c r="B3" s="3" t="s">
        <v>9</v>
      </c>
    </row>
    <row r="4" spans="1:2" ht="15" thickBot="1">
      <c r="A4" s="1" t="s">
        <v>10</v>
      </c>
      <c r="B4" s="3" t="s">
        <v>11</v>
      </c>
    </row>
    <row r="5" spans="1:2" ht="15" thickBot="1">
      <c r="A5" s="1" t="s">
        <v>12</v>
      </c>
      <c r="B5" s="3" t="s">
        <v>13</v>
      </c>
    </row>
    <row r="6" spans="1:2" ht="15" thickBot="1">
      <c r="A6" s="1" t="s">
        <v>14</v>
      </c>
      <c r="B6" s="3" t="s">
        <v>15</v>
      </c>
    </row>
    <row r="7" spans="1:2" ht="15" thickBot="1">
      <c r="A7" s="1" t="s">
        <v>16</v>
      </c>
      <c r="B7" s="3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A8403-AEF7-4251-B8DA-16E0D39D00B4}">
  <dimension ref="A1:G6"/>
  <sheetViews>
    <sheetView tabSelected="1" workbookViewId="0">
      <selection activeCell="G9" sqref="G9"/>
    </sheetView>
  </sheetViews>
  <sheetFormatPr baseColWidth="10" defaultRowHeight="14.4"/>
  <cols>
    <col min="1" max="1" width="28" customWidth="1"/>
    <col min="2" max="2" width="24.33203125" customWidth="1"/>
    <col min="4" max="4" width="24.77734375" customWidth="1"/>
    <col min="5" max="5" width="32.5546875" customWidth="1"/>
  </cols>
  <sheetData>
    <row r="1" spans="1:7" ht="15" thickBot="1">
      <c r="A1" s="4" t="s">
        <v>18</v>
      </c>
      <c r="B1" s="4" t="s">
        <v>19</v>
      </c>
      <c r="C1" s="4" t="s">
        <v>20</v>
      </c>
      <c r="D1" s="4" t="s">
        <v>21</v>
      </c>
      <c r="E1" s="5" t="s">
        <v>22</v>
      </c>
    </row>
    <row r="2" spans="1:7" ht="42" thickBot="1">
      <c r="A2" s="6" t="s">
        <v>23</v>
      </c>
      <c r="B2" s="6" t="s">
        <v>24</v>
      </c>
      <c r="C2" s="6">
        <v>2</v>
      </c>
      <c r="D2" s="7">
        <v>19500</v>
      </c>
      <c r="E2" s="8">
        <f>C2*D2</f>
        <v>39000</v>
      </c>
      <c r="F2" s="9" t="s">
        <v>29</v>
      </c>
      <c r="G2" s="8">
        <f>SUM(E2:E6)</f>
        <v>108720</v>
      </c>
    </row>
    <row r="3" spans="1:7" ht="28.2" thickBot="1">
      <c r="A3" s="6" t="s">
        <v>0</v>
      </c>
      <c r="B3" s="6" t="s">
        <v>25</v>
      </c>
      <c r="C3" s="6">
        <v>34</v>
      </c>
      <c r="D3" s="6">
        <v>950</v>
      </c>
      <c r="E3" s="8">
        <f>C3*D3</f>
        <v>32300</v>
      </c>
      <c r="F3" s="9" t="s">
        <v>30</v>
      </c>
      <c r="G3" s="8">
        <f>G2*0.2</f>
        <v>21744</v>
      </c>
    </row>
    <row r="4" spans="1:7" ht="28.2" thickBot="1">
      <c r="A4" s="6" t="s">
        <v>26</v>
      </c>
      <c r="B4" s="6" t="s">
        <v>1</v>
      </c>
      <c r="C4" s="6">
        <v>34</v>
      </c>
      <c r="D4" s="6">
        <v>850</v>
      </c>
      <c r="E4" s="8">
        <f>C4*D4</f>
        <v>28900</v>
      </c>
      <c r="F4" s="9" t="s">
        <v>31</v>
      </c>
      <c r="G4" s="8">
        <f>G2+G3</f>
        <v>130464</v>
      </c>
    </row>
    <row r="5" spans="1:7" ht="28.2" thickBot="1">
      <c r="A5" s="6" t="s">
        <v>2</v>
      </c>
      <c r="B5" s="6" t="s">
        <v>27</v>
      </c>
      <c r="C5" s="6">
        <v>80</v>
      </c>
      <c r="D5" s="6">
        <v>19</v>
      </c>
      <c r="E5" s="8">
        <f>C5*D5</f>
        <v>1520</v>
      </c>
    </row>
    <row r="6" spans="1:7" ht="69.599999999999994" thickBot="1">
      <c r="A6" s="6" t="s">
        <v>3</v>
      </c>
      <c r="B6" s="6" t="s">
        <v>28</v>
      </c>
      <c r="C6" s="6">
        <v>2</v>
      </c>
      <c r="D6" s="7">
        <v>3500</v>
      </c>
      <c r="E6" s="8">
        <f>C6*D6</f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lista_items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LEMHAOULI JIHANE</dc:creator>
  <cp:lastModifiedBy>LEMHAOULI JIHANE</cp:lastModifiedBy>
  <dcterms:created xsi:type="dcterms:W3CDTF">2026-04-23T12:51:07Z</dcterms:created>
  <dcterms:modified xsi:type="dcterms:W3CDTF">2026-04-26T14:28:57Z</dcterms:modified>
</cp:coreProperties>
</file>