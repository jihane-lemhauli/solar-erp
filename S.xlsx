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JOB\D.S\"/>
    </mc:Choice>
  </mc:AlternateContent>
  <xr:revisionPtr revIDLastSave="0" documentId="8_{90E4AEA2-406E-4821-BD10-D753A22D9C9A}" xr6:coauthVersionLast="47" xr6:coauthVersionMax="47" xr10:uidLastSave="{00000000-0000-0000-0000-000000000000}"/>
  <bookViews>
    <workbookView xWindow="-108" yWindow="-108" windowWidth="23256" windowHeight="12456" xr2:uid="{6BF4E0C5-581D-4F91-BBFC-C2A742B127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2" i="1"/>
</calcChain>
</file>

<file path=xl/sharedStrings.xml><?xml version="1.0" encoding="utf-8"?>
<sst xmlns="http://schemas.openxmlformats.org/spreadsheetml/2006/main" count="49" uniqueCount="34">
  <si>
    <t>ID_Facture</t>
  </si>
  <si>
    <t>Client_Nom</t>
  </si>
  <si>
    <t>Date_Creation</t>
  </si>
  <si>
    <t>Status_Etape</t>
  </si>
  <si>
    <t>Montant_Total_TTC</t>
  </si>
  <si>
    <t>Avance_50_Payé</t>
  </si>
  <si>
    <t>Date_Avance</t>
  </si>
  <si>
    <t>Reste_50_Payé</t>
  </si>
  <si>
    <t>Date_Solde</t>
  </si>
  <si>
    <t>Produit_Nom</t>
  </si>
  <si>
    <t>Quantité_Vendue</t>
  </si>
  <si>
    <t>Stock_Restant</t>
  </si>
  <si>
    <t>Magasinier_Nom</t>
  </si>
  <si>
    <t>F-001</t>
  </si>
  <si>
    <t>Ahmed Ali</t>
  </si>
  <si>
    <t>Lead</t>
  </si>
  <si>
    <t>No</t>
  </si>
  <si>
    <t>Panneau Solaire</t>
  </si>
  <si>
    <t>Youssef</t>
  </si>
  <si>
    <t>F-002</t>
  </si>
  <si>
    <t>Sara Ben</t>
  </si>
  <si>
    <t>Devis Accepté</t>
  </si>
  <si>
    <t>Yes</t>
  </si>
  <si>
    <t>Batterie</t>
  </si>
  <si>
    <t>Hamza</t>
  </si>
  <si>
    <t>F-003</t>
  </si>
  <si>
    <t>Khalid Omar</t>
  </si>
  <si>
    <t>Facturé</t>
  </si>
  <si>
    <t>Onduleur</t>
  </si>
  <si>
    <t>F-004</t>
  </si>
  <si>
    <t>Nadia Karim</t>
  </si>
  <si>
    <t>F-005</t>
  </si>
  <si>
    <t>Yassine Taha</t>
  </si>
  <si>
    <t>Stock_Initial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</si>
</sst>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8DD1-147B-4733-A785-D38EE18758DD}">
  <dimension ref="A1:N6"/>
  <sheetViews>
    <sheetView tabSelected="1" workbookViewId="0">
      <selection activeCell="O12" sqref="O12"/>
    </sheetView>
  </sheetViews>
  <sheetFormatPr baseColWidth="10" defaultRowHeight="14.4" x14ac:dyDescent="0.3"/>
  <cols>
    <col min="3" max="8" width="11.5546875" customWidth="1"/>
    <col min="10" max="10" width="11.5546875" customWidth="1"/>
    <col min="12" max="14" width="11.5546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</v>
      </c>
      <c r="L1" s="1" t="s">
        <v>10</v>
      </c>
      <c r="M1" s="1" t="s">
        <v>11</v>
      </c>
      <c r="N1" s="1" t="s">
        <v>12</v>
      </c>
    </row>
    <row r="2" spans="1:14" ht="28.8" x14ac:dyDescent="0.3">
      <c r="A2" s="2" t="s">
        <v>13</v>
      </c>
      <c r="B2" s="2" t="s">
        <v>14</v>
      </c>
      <c r="C2" s="3">
        <v>46113</v>
      </c>
      <c r="D2" s="2" t="s">
        <v>15</v>
      </c>
      <c r="E2" s="2">
        <v>10000</v>
      </c>
      <c r="F2" s="2" t="s">
        <v>16</v>
      </c>
      <c r="G2" s="3">
        <v>46113</v>
      </c>
      <c r="H2" s="2" t="s">
        <v>16</v>
      </c>
      <c r="I2" s="3">
        <v>46113</v>
      </c>
      <c r="J2" s="2" t="s">
        <v>17</v>
      </c>
      <c r="K2" s="2">
        <v>20</v>
      </c>
      <c r="L2" s="2">
        <v>2</v>
      </c>
      <c r="M2" s="2">
        <f>K2 - L2</f>
        <v>18</v>
      </c>
      <c r="N2" s="2" t="s">
        <v>18</v>
      </c>
    </row>
    <row r="3" spans="1:14" ht="28.8" x14ac:dyDescent="0.3">
      <c r="A3" s="2" t="s">
        <v>19</v>
      </c>
      <c r="B3" s="2" t="s">
        <v>20</v>
      </c>
      <c r="C3" s="3">
        <v>46114</v>
      </c>
      <c r="D3" s="2" t="s">
        <v>21</v>
      </c>
      <c r="E3" s="2">
        <v>15000</v>
      </c>
      <c r="F3" s="2" t="s">
        <v>22</v>
      </c>
      <c r="G3" s="3">
        <v>46115</v>
      </c>
      <c r="H3" s="2" t="s">
        <v>16</v>
      </c>
      <c r="I3" s="3">
        <v>46114</v>
      </c>
      <c r="J3" s="2" t="s">
        <v>23</v>
      </c>
      <c r="K3" s="2">
        <v>10</v>
      </c>
      <c r="L3" s="2">
        <v>1</v>
      </c>
      <c r="M3" s="2">
        <f t="shared" ref="M3:M6" si="0">K3 - L3</f>
        <v>9</v>
      </c>
      <c r="N3" s="2" t="s">
        <v>24</v>
      </c>
    </row>
    <row r="4" spans="1:14" x14ac:dyDescent="0.3">
      <c r="A4" s="2" t="s">
        <v>25</v>
      </c>
      <c r="B4" s="2" t="s">
        <v>26</v>
      </c>
      <c r="C4" s="3">
        <v>46115</v>
      </c>
      <c r="D4" s="2" t="s">
        <v>27</v>
      </c>
      <c r="E4" s="2">
        <v>20000</v>
      </c>
      <c r="F4" s="2" t="s">
        <v>22</v>
      </c>
      <c r="G4" s="3">
        <v>46116</v>
      </c>
      <c r="H4" s="2" t="s">
        <v>22</v>
      </c>
      <c r="I4" s="3">
        <v>46119</v>
      </c>
      <c r="J4" s="2" t="s">
        <v>28</v>
      </c>
      <c r="K4" s="2">
        <v>5</v>
      </c>
      <c r="L4" s="2">
        <v>1</v>
      </c>
      <c r="M4" s="2">
        <f t="shared" si="0"/>
        <v>4</v>
      </c>
      <c r="N4" s="2" t="s">
        <v>18</v>
      </c>
    </row>
    <row r="5" spans="1:14" ht="28.8" x14ac:dyDescent="0.3">
      <c r="A5" s="2" t="s">
        <v>29</v>
      </c>
      <c r="B5" s="2" t="s">
        <v>30</v>
      </c>
      <c r="C5" s="3">
        <v>46117</v>
      </c>
      <c r="D5" s="2" t="s">
        <v>27</v>
      </c>
      <c r="E5" s="2">
        <v>12000</v>
      </c>
      <c r="F5" s="2" t="s">
        <v>22</v>
      </c>
      <c r="G5" s="3">
        <v>46118</v>
      </c>
      <c r="H5" s="2" t="s">
        <v>22</v>
      </c>
      <c r="I5" s="3">
        <v>46120</v>
      </c>
      <c r="J5" s="2" t="s">
        <v>17</v>
      </c>
      <c r="K5" s="2">
        <v>20</v>
      </c>
      <c r="L5" s="2">
        <v>3</v>
      </c>
      <c r="M5" s="2">
        <f t="shared" si="0"/>
        <v>17</v>
      </c>
      <c r="N5" s="2" t="s">
        <v>24</v>
      </c>
    </row>
    <row r="6" spans="1:14" ht="28.8" x14ac:dyDescent="0.3">
      <c r="A6" s="2" t="s">
        <v>31</v>
      </c>
      <c r="B6" s="2" t="s">
        <v>32</v>
      </c>
      <c r="C6" s="3">
        <v>46118</v>
      </c>
      <c r="D6" s="2" t="s">
        <v>21</v>
      </c>
      <c r="E6" s="2">
        <v>8000</v>
      </c>
      <c r="F6" s="2" t="s">
        <v>16</v>
      </c>
      <c r="G6" s="3">
        <v>46118</v>
      </c>
      <c r="H6" s="2" t="s">
        <v>16</v>
      </c>
      <c r="I6" s="3">
        <v>46118</v>
      </c>
      <c r="J6" s="2" t="s">
        <v>23</v>
      </c>
      <c r="K6" s="2">
        <v>10</v>
      </c>
      <c r="L6" s="2">
        <v>2</v>
      </c>
      <c r="M6" s="2">
        <f t="shared" si="0"/>
        <v>8</v>
      </c>
      <c r="N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LEMHAOULI JIHANE</dc:creator>
  <cp:lastModifiedBy>LEMHAOULI JIHANE</cp:lastModifiedBy>
  <dcterms:created xsi:type="dcterms:W3CDTF">2026-04-13T11:02:46Z</dcterms:created>
  <dcterms:modified xsi:type="dcterms:W3CDTF">2026-04-13T11:20:10Z</dcterms:modified>
</cp:coreProperties>
</file>